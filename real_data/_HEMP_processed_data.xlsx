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kkim\OneDrive\바탕 화면\정보디자인데이터\"/>
    </mc:Choice>
  </mc:AlternateContent>
  <xr:revisionPtr revIDLastSave="0" documentId="13_ncr:1_{0AEDBBD9-E69E-425C-98B2-D190C57A8ECA}" xr6:coauthVersionLast="36" xr6:coauthVersionMax="36" xr10:uidLastSave="{00000000-0000-0000-0000-000000000000}"/>
  <bookViews>
    <workbookView xWindow="0" yWindow="0" windowWidth="19275" windowHeight="7845" xr2:uid="{5EF85D62-9215-47D4-83C2-8E641702964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9" i="1" l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D4" i="1"/>
  <c r="D3" i="1"/>
  <c r="D2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  <c r="F10" i="1"/>
  <c r="F14" i="1"/>
  <c r="F7" i="1"/>
  <c r="F2" i="1"/>
  <c r="F9" i="1"/>
  <c r="F3" i="1"/>
  <c r="F12" i="1"/>
  <c r="F5" i="1"/>
  <c r="F16" i="1"/>
  <c r="F4" i="1"/>
  <c r="F18" i="1"/>
  <c r="F17" i="1"/>
  <c r="F13" i="1"/>
  <c r="F19" i="1"/>
  <c r="F6" i="1"/>
  <c r="F11" i="1"/>
  <c r="F15" i="1"/>
  <c r="F8" i="1"/>
</calcChain>
</file>

<file path=xl/sharedStrings.xml><?xml version="1.0" encoding="utf-8"?>
<sst xmlns="http://schemas.openxmlformats.org/spreadsheetml/2006/main" count="25" uniqueCount="25">
  <si>
    <t>Name</t>
    <phoneticPr fontId="1" type="noConversion"/>
  </si>
  <si>
    <t>Sei</t>
    <phoneticPr fontId="1" type="noConversion"/>
  </si>
  <si>
    <t>Osmosis</t>
  </si>
  <si>
    <t>Injective</t>
  </si>
  <si>
    <t>Dydx</t>
  </si>
  <si>
    <t>Stargaze</t>
  </si>
  <si>
    <t>Cosmos</t>
  </si>
  <si>
    <t>Axelar</t>
  </si>
  <si>
    <t>Secret</t>
  </si>
  <si>
    <t>Kava</t>
  </si>
  <si>
    <t>Gravity-bridge</t>
  </si>
  <si>
    <t>Persistence</t>
  </si>
  <si>
    <t>Akash</t>
  </si>
  <si>
    <t>Terra</t>
  </si>
  <si>
    <t>Xpla</t>
  </si>
  <si>
    <t>Stride</t>
  </si>
  <si>
    <t>Provenance</t>
  </si>
  <si>
    <t>Agoric</t>
  </si>
  <si>
    <t>Chihuahua</t>
  </si>
  <si>
    <t>Participation</t>
    <phoneticPr fontId="1" type="noConversion"/>
  </si>
  <si>
    <t>Consensus</t>
    <phoneticPr fontId="1" type="noConversion"/>
  </si>
  <si>
    <t>#ofProposal</t>
    <phoneticPr fontId="1" type="noConversion"/>
  </si>
  <si>
    <t>Stability(작을수록 좋은것)</t>
    <phoneticPr fontId="1" type="noConversion"/>
  </si>
  <si>
    <t>Acceptance Rate(%)</t>
    <phoneticPr fontId="1" type="noConversion"/>
  </si>
  <si>
    <t>Validator Balance(Nakamoto Coefficient) (클수록 좋은 것)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</si>
</sst>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2" borderId="0" xfId="0" applyFill="1" applyBorder="1">
      <alignment vertical="center"/>
    </xf>
    <xf numFmtId="0" fontId="0" fillId="3" borderId="0" xfId="0" applyFill="1">
      <alignment vertical="center"/>
    </xf>
    <xf numFmtId="0" fontId="0" fillId="3" borderId="0" xfId="0" applyFill="1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8667C6-768F-4400-9806-471977E6A35B}">
  <dimension ref="A1:G19"/>
  <sheetViews>
    <sheetView tabSelected="1" zoomScale="79" zoomScaleNormal="100" workbookViewId="0">
      <selection activeCell="D22" sqref="D22"/>
    </sheetView>
  </sheetViews>
  <sheetFormatPr defaultRowHeight="16.5" x14ac:dyDescent="0.3"/>
  <cols>
    <col min="1" max="1" width="14" bestFit="1" customWidth="1"/>
    <col min="2" max="2" width="14" customWidth="1"/>
    <col min="3" max="3" width="38" style="1" bestFit="1" customWidth="1"/>
    <col min="4" max="4" width="33.875" style="3" bestFit="1" customWidth="1"/>
    <col min="5" max="5" width="30.625" style="4" bestFit="1" customWidth="1"/>
    <col min="6" max="6" width="38.125" style="4" bestFit="1" customWidth="1"/>
    <col min="7" max="7" width="55.375" style="2" bestFit="1" customWidth="1"/>
  </cols>
  <sheetData>
    <row r="1" spans="1:7" x14ac:dyDescent="0.3">
      <c r="A1" t="s">
        <v>0</v>
      </c>
      <c r="B1" t="s">
        <v>21</v>
      </c>
      <c r="C1" s="1" t="s">
        <v>19</v>
      </c>
      <c r="D1" s="3" t="s">
        <v>20</v>
      </c>
      <c r="E1" s="4" t="s">
        <v>22</v>
      </c>
      <c r="F1" s="4" t="s">
        <v>23</v>
      </c>
      <c r="G1" s="2" t="s">
        <v>24</v>
      </c>
    </row>
    <row r="2" spans="1:7" x14ac:dyDescent="0.3">
      <c r="A2" t="s">
        <v>15</v>
      </c>
      <c r="B2">
        <v>90</v>
      </c>
      <c r="C2" s="1">
        <f>TRUNC(0.9474*26, 2)</f>
        <v>24.63</v>
      </c>
      <c r="D2" s="3">
        <f>TRUNC( 0.9591*16,2)</f>
        <v>15.34</v>
      </c>
      <c r="E2" s="4">
        <v>13</v>
      </c>
      <c r="F2" s="4">
        <f>TRUNC(69/90*16,2)</f>
        <v>12.26</v>
      </c>
      <c r="G2" s="2">
        <v>9</v>
      </c>
    </row>
    <row r="3" spans="1:7" x14ac:dyDescent="0.3">
      <c r="A3" t="s">
        <v>9</v>
      </c>
      <c r="B3">
        <v>200</v>
      </c>
      <c r="C3" s="1">
        <f>TRUNC(0.4781*26, 2)</f>
        <v>12.43</v>
      </c>
      <c r="D3" s="3">
        <f>TRUNC( 0.9488*16,2)</f>
        <v>15.18</v>
      </c>
      <c r="E3" s="4">
        <v>11</v>
      </c>
      <c r="F3" s="4">
        <f>TRUNC(176/200*16,2)</f>
        <v>14.08</v>
      </c>
      <c r="G3" s="2">
        <v>10</v>
      </c>
    </row>
    <row r="4" spans="1:7" x14ac:dyDescent="0.3">
      <c r="A4" t="s">
        <v>8</v>
      </c>
      <c r="B4">
        <v>201</v>
      </c>
      <c r="C4" s="1">
        <f>TRUNC(0.5952*26, 2)</f>
        <v>15.47</v>
      </c>
      <c r="D4" s="3">
        <f>TRUNC( 0.8456*16,2)</f>
        <v>13.52</v>
      </c>
      <c r="E4" s="4">
        <v>7</v>
      </c>
      <c r="F4" s="4">
        <f>TRUNC(170/201*16,2)</f>
        <v>13.53</v>
      </c>
      <c r="G4" s="2">
        <v>11</v>
      </c>
    </row>
    <row r="5" spans="1:7" x14ac:dyDescent="0.3">
      <c r="A5" t="s">
        <v>14</v>
      </c>
      <c r="B5">
        <v>30</v>
      </c>
      <c r="C5" s="1">
        <f>TRUNC(0.5431*26, 2)</f>
        <v>14.12</v>
      </c>
      <c r="D5" s="3">
        <f>TRUNC( 0.9849*16,2)</f>
        <v>15.75</v>
      </c>
      <c r="E5" s="4">
        <v>9</v>
      </c>
      <c r="F5" s="4">
        <f>24/30*16</f>
        <v>12.8</v>
      </c>
      <c r="G5" s="2">
        <v>12</v>
      </c>
    </row>
    <row r="6" spans="1:7" x14ac:dyDescent="0.3">
      <c r="A6" t="s">
        <v>10</v>
      </c>
      <c r="B6">
        <v>196</v>
      </c>
      <c r="C6" s="1">
        <f>TRUNC(0.7921*26, 2)</f>
        <v>20.59</v>
      </c>
      <c r="D6" s="3">
        <f>TRUNC( 0.9389*16,2)</f>
        <v>15.02</v>
      </c>
      <c r="E6" s="4">
        <v>2</v>
      </c>
      <c r="F6" s="4">
        <f>TRUNC(156/196*16,2)</f>
        <v>12.73</v>
      </c>
      <c r="G6" s="2">
        <v>13</v>
      </c>
    </row>
    <row r="7" spans="1:7" x14ac:dyDescent="0.3">
      <c r="A7" t="s">
        <v>17</v>
      </c>
      <c r="B7">
        <v>79</v>
      </c>
      <c r="C7" s="1">
        <f>TRUNC(0.5736*26, 2)</f>
        <v>14.91</v>
      </c>
      <c r="D7" s="3">
        <f>TRUNC( 0.9574*16,2)</f>
        <v>15.31</v>
      </c>
      <c r="E7" s="4">
        <v>14</v>
      </c>
      <c r="F7" s="4">
        <f>TRUNC(63/79*16,2)</f>
        <v>12.75</v>
      </c>
      <c r="G7" s="2">
        <v>14</v>
      </c>
    </row>
    <row r="8" spans="1:7" x14ac:dyDescent="0.3">
      <c r="A8" t="s">
        <v>18</v>
      </c>
      <c r="B8">
        <v>81</v>
      </c>
      <c r="C8" s="1">
        <f>TRUNC(0.7707*26, 2)</f>
        <v>20.03</v>
      </c>
      <c r="D8" s="3">
        <f>TRUNC( 0.9295*16,2)</f>
        <v>14.87</v>
      </c>
      <c r="E8" s="4">
        <v>1</v>
      </c>
      <c r="F8" s="4">
        <f>TRUNC(71/81*16,2)</f>
        <v>14.02</v>
      </c>
      <c r="G8" s="2">
        <v>15</v>
      </c>
    </row>
    <row r="9" spans="1:7" x14ac:dyDescent="0.3">
      <c r="A9" t="s">
        <v>3</v>
      </c>
      <c r="B9">
        <v>377</v>
      </c>
      <c r="C9" s="1">
        <f>TRUNC(0.6258*26, 2)</f>
        <v>16.27</v>
      </c>
      <c r="D9" s="3">
        <f>TRUNC( 0.9062*16,2)</f>
        <v>14.49</v>
      </c>
      <c r="E9" s="4">
        <v>12</v>
      </c>
      <c r="F9" s="4">
        <f>TRUNC(360/377*16,2)</f>
        <v>15.27</v>
      </c>
      <c r="G9" s="2">
        <v>16</v>
      </c>
    </row>
    <row r="10" spans="1:7" x14ac:dyDescent="0.3">
      <c r="A10" t="s">
        <v>6</v>
      </c>
      <c r="B10">
        <v>179</v>
      </c>
      <c r="C10" s="1">
        <f>TRUNC(0.4766*26, 2)</f>
        <v>12.39</v>
      </c>
      <c r="D10" s="3">
        <f>TRUNC( 0.881*16,2)</f>
        <v>14.09</v>
      </c>
      <c r="E10" s="4">
        <v>16</v>
      </c>
      <c r="F10" s="4">
        <f>TRUNC(119/179*16,2)</f>
        <v>10.63</v>
      </c>
      <c r="G10" s="2">
        <v>17</v>
      </c>
    </row>
    <row r="11" spans="1:7" x14ac:dyDescent="0.3">
      <c r="A11" t="s">
        <v>12</v>
      </c>
      <c r="B11">
        <v>135</v>
      </c>
      <c r="C11" s="1">
        <f>TRUNC(0.7332*26, 2)</f>
        <v>19.059999999999999</v>
      </c>
      <c r="D11" s="3">
        <f>TRUNC( 0.9252*16,2)</f>
        <v>14.8</v>
      </c>
      <c r="E11" s="4">
        <v>1</v>
      </c>
      <c r="F11" s="4">
        <f>TRUNC(114/135*16,2)</f>
        <v>13.51</v>
      </c>
      <c r="G11" s="2">
        <v>18</v>
      </c>
    </row>
    <row r="12" spans="1:7" x14ac:dyDescent="0.3">
      <c r="A12" t="s">
        <v>4</v>
      </c>
      <c r="B12">
        <v>300</v>
      </c>
      <c r="C12" s="1">
        <f>TRUNC(0.553*26, 2)</f>
        <v>14.37</v>
      </c>
      <c r="D12" s="3">
        <f>TRUNC( 0.967*16,2)</f>
        <v>15.47</v>
      </c>
      <c r="E12" s="4">
        <v>10</v>
      </c>
      <c r="F12" s="4">
        <f>TRUNC(283/300*16,2)</f>
        <v>15.09</v>
      </c>
      <c r="G12" s="2">
        <v>19</v>
      </c>
    </row>
    <row r="13" spans="1:7" x14ac:dyDescent="0.3">
      <c r="A13" t="s">
        <v>1</v>
      </c>
      <c r="B13">
        <v>65</v>
      </c>
      <c r="C13" s="1">
        <f>TRUNC(0.8842*26, 2)</f>
        <v>22.98</v>
      </c>
      <c r="D13" s="3">
        <f>TRUNC( 0.9973*16,2)</f>
        <v>15.95</v>
      </c>
      <c r="E13" s="4">
        <v>4</v>
      </c>
      <c r="F13" s="4">
        <f>TRUNC(62/65*16,2)</f>
        <v>15.26</v>
      </c>
      <c r="G13" s="2">
        <v>20</v>
      </c>
    </row>
    <row r="14" spans="1:7" x14ac:dyDescent="0.3">
      <c r="A14" t="s">
        <v>16</v>
      </c>
      <c r="B14">
        <v>34</v>
      </c>
      <c r="C14" s="1">
        <f>TRUNC(0.431*26, 2)</f>
        <v>11.2</v>
      </c>
      <c r="D14" s="3">
        <f>TRUNC( 0.9993*16,2)</f>
        <v>15.98</v>
      </c>
      <c r="E14" s="4">
        <v>15</v>
      </c>
      <c r="F14" s="4">
        <f>TRUNC(33/34*16,2)</f>
        <v>15.52</v>
      </c>
      <c r="G14" s="2">
        <v>21</v>
      </c>
    </row>
    <row r="15" spans="1:7" x14ac:dyDescent="0.3">
      <c r="A15" t="s">
        <v>7</v>
      </c>
      <c r="B15">
        <v>262</v>
      </c>
      <c r="C15" s="1">
        <f>TRUNC(0.7799*26, 2)</f>
        <v>20.27</v>
      </c>
      <c r="D15" s="3">
        <f>TRUNC( 0.9575*16,2)</f>
        <v>15.32</v>
      </c>
      <c r="E15" s="4">
        <v>1</v>
      </c>
      <c r="F15" s="4">
        <f>TRUNC(239/262*16,2)</f>
        <v>14.59</v>
      </c>
      <c r="G15" s="2">
        <v>22</v>
      </c>
    </row>
    <row r="16" spans="1:7" x14ac:dyDescent="0.3">
      <c r="A16" t="s">
        <v>11</v>
      </c>
      <c r="B16">
        <v>137</v>
      </c>
      <c r="C16" s="1">
        <f>TRUNC(0.7317*26, 2)</f>
        <v>19.02</v>
      </c>
      <c r="D16" s="3">
        <f>TRUNC( 0.985*16,2)</f>
        <v>15.76</v>
      </c>
      <c r="E16" s="4">
        <v>8</v>
      </c>
      <c r="F16" s="4">
        <f>TRUNC(127/137*16,2)</f>
        <v>14.83</v>
      </c>
      <c r="G16" s="2">
        <v>23</v>
      </c>
    </row>
    <row r="17" spans="1:7" x14ac:dyDescent="0.3">
      <c r="A17" t="s">
        <v>13</v>
      </c>
      <c r="B17">
        <v>118</v>
      </c>
      <c r="C17" s="1">
        <f>TRUNC(0.786*26, 2)</f>
        <v>20.43</v>
      </c>
      <c r="D17" s="3">
        <f>TRUNC( 0.8444*16,2)</f>
        <v>13.51</v>
      </c>
      <c r="E17" s="4">
        <v>5</v>
      </c>
      <c r="F17" s="4">
        <f>TRUNC(62/118*16,2)</f>
        <v>8.4</v>
      </c>
      <c r="G17" s="2">
        <v>24</v>
      </c>
    </row>
    <row r="18" spans="1:7" x14ac:dyDescent="0.3">
      <c r="A18" t="s">
        <v>5</v>
      </c>
      <c r="B18">
        <v>295</v>
      </c>
      <c r="C18" s="1">
        <f>TRUNC(0.541*26, 2)</f>
        <v>14.06</v>
      </c>
      <c r="D18" s="3">
        <f>TRUNC( 0.9372*16,2)</f>
        <v>14.99</v>
      </c>
      <c r="E18" s="4">
        <v>6</v>
      </c>
      <c r="F18" s="4">
        <f>TRUNC(235/295*16,2)</f>
        <v>12.74</v>
      </c>
      <c r="G18" s="2">
        <v>25</v>
      </c>
    </row>
    <row r="19" spans="1:7" x14ac:dyDescent="0.3">
      <c r="A19" t="s">
        <v>2</v>
      </c>
      <c r="B19">
        <v>791</v>
      </c>
      <c r="C19" s="1">
        <f>TRUNC(0.5549*26, 2)</f>
        <v>14.42</v>
      </c>
      <c r="D19" s="3">
        <f>TRUNC( 0.9288*16,2)</f>
        <v>14.86</v>
      </c>
      <c r="E19" s="4">
        <v>3</v>
      </c>
      <c r="F19" s="4">
        <f>TRUNC(713/791*16,2)</f>
        <v>14.42</v>
      </c>
      <c r="G19" s="2">
        <v>26</v>
      </c>
    </row>
  </sheetData>
  <sortState ref="A2:G23">
    <sortCondition ref="G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hkkim</dc:creator>
  <cp:lastModifiedBy>hkkim</cp:lastModifiedBy>
  <dcterms:created xsi:type="dcterms:W3CDTF">2025-12-02T14:36:23Z</dcterms:created>
  <dcterms:modified xsi:type="dcterms:W3CDTF">2025-12-13T08:46:26Z</dcterms:modified>
</cp:coreProperties>
</file>