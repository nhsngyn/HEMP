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kkim\OneDrive\바탕 화면\정보디자인데이터\"/>
    </mc:Choice>
  </mc:AlternateContent>
  <xr:revisionPtr revIDLastSave="0" documentId="13_ncr:1_{8B9B0B0E-EC31-4153-AAC5-0D130958364B}" xr6:coauthVersionLast="36" xr6:coauthVersionMax="36" xr10:uidLastSave="{00000000-0000-0000-0000-000000000000}"/>
  <bookViews>
    <workbookView xWindow="0" yWindow="0" windowWidth="19275" windowHeight="7845" xr2:uid="{5EF85D62-9215-47D4-83C2-8E64170296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1" l="1"/>
  <c r="C19" i="1"/>
  <c r="D18" i="1"/>
  <c r="C18" i="1"/>
  <c r="D17" i="1"/>
  <c r="C17" i="1"/>
  <c r="D16" i="1"/>
  <c r="C16" i="1"/>
  <c r="F15" i="1"/>
  <c r="D15" i="1"/>
  <c r="C15" i="1"/>
  <c r="D14" i="1"/>
  <c r="C14" i="1"/>
  <c r="D13" i="1"/>
  <c r="C13" i="1"/>
  <c r="D12" i="1" l="1"/>
  <c r="C12" i="1"/>
  <c r="D11" i="1"/>
  <c r="C11" i="1"/>
  <c r="D10" i="1"/>
  <c r="C10" i="1"/>
  <c r="D9" i="1"/>
  <c r="C9" i="1"/>
  <c r="D8" i="1"/>
  <c r="C8" i="1"/>
  <c r="D7" i="1"/>
  <c r="C7" i="1"/>
  <c r="D6" i="1" l="1"/>
  <c r="C6" i="1"/>
  <c r="D5" i="1"/>
  <c r="C5" i="1"/>
  <c r="D4" i="1"/>
  <c r="C4" i="1"/>
  <c r="D3" i="1" l="1"/>
  <c r="C3" i="1"/>
  <c r="C2" i="1" l="1"/>
  <c r="D2" i="1" l="1"/>
</calcChain>
</file>

<file path=xl/sharedStrings.xml><?xml version="1.0" encoding="utf-8"?>
<sst xmlns="http://schemas.openxmlformats.org/spreadsheetml/2006/main" count="25" uniqueCount="25">
  <si>
    <t>Name</t>
    <phoneticPr fontId="1" type="noConversion"/>
  </si>
  <si>
    <t>Sei</t>
    <phoneticPr fontId="1" type="noConversion"/>
  </si>
  <si>
    <t>Osmosis</t>
  </si>
  <si>
    <t>Injective</t>
  </si>
  <si>
    <t>Dydx</t>
  </si>
  <si>
    <t>Stargaze</t>
  </si>
  <si>
    <t>Cosmos</t>
  </si>
  <si>
    <t>Axelar</t>
  </si>
  <si>
    <t>Secret</t>
  </si>
  <si>
    <t>Kava</t>
  </si>
  <si>
    <t>Gravity-bridge</t>
  </si>
  <si>
    <t>Persistence</t>
  </si>
  <si>
    <t>Akash</t>
  </si>
  <si>
    <t>Terra</t>
  </si>
  <si>
    <t>Xpla</t>
  </si>
  <si>
    <t>Stride</t>
  </si>
  <si>
    <t>Provenance</t>
  </si>
  <si>
    <t>Agoric</t>
  </si>
  <si>
    <t>Chihuahua</t>
  </si>
  <si>
    <t>Participation</t>
    <phoneticPr fontId="1" type="noConversion"/>
  </si>
  <si>
    <t>Consensus</t>
    <phoneticPr fontId="1" type="noConversion"/>
  </si>
  <si>
    <t>Stability</t>
    <phoneticPr fontId="1" type="noConversion"/>
  </si>
  <si>
    <t>Rejection Rate</t>
    <phoneticPr fontId="1" type="noConversion"/>
  </si>
  <si>
    <t>Validator Balance</t>
    <phoneticPr fontId="1" type="noConversion"/>
  </si>
  <si>
    <t>#ofProposal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</si>
</sst>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Fill="1" applyBorder="1">
      <alignment vertical="center"/>
    </xf>
    <xf numFmtId="0" fontId="0" fillId="0" borderId="3" xfId="0" applyFill="1" applyBorder="1">
      <alignment vertical="center"/>
    </xf>
    <xf numFmtId="0" fontId="0" fillId="0" borderId="2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667C6-768F-4400-9806-471977E6A35B}">
  <dimension ref="A1:G19"/>
  <sheetViews>
    <sheetView tabSelected="1" zoomScale="110" zoomScaleNormal="110" workbookViewId="0">
      <selection activeCell="C5" sqref="C5"/>
    </sheetView>
  </sheetViews>
  <sheetFormatPr defaultRowHeight="16.5" x14ac:dyDescent="0.3"/>
  <cols>
    <col min="1" max="1" width="14" bestFit="1" customWidth="1"/>
    <col min="2" max="2" width="14" customWidth="1"/>
    <col min="3" max="3" width="38" bestFit="1" customWidth="1"/>
    <col min="4" max="4" width="33.875" bestFit="1" customWidth="1"/>
    <col min="5" max="5" width="30.625" style="1" bestFit="1" customWidth="1"/>
    <col min="6" max="6" width="38.125" style="1" bestFit="1" customWidth="1"/>
    <col min="7" max="7" width="55.375" style="1" bestFit="1" customWidth="1"/>
  </cols>
  <sheetData>
    <row r="1" spans="1:7" x14ac:dyDescent="0.3">
      <c r="A1" t="s">
        <v>0</v>
      </c>
      <c r="B1" t="s">
        <v>24</v>
      </c>
      <c r="C1" t="s">
        <v>19</v>
      </c>
      <c r="D1" t="s">
        <v>20</v>
      </c>
      <c r="E1" s="3" t="s">
        <v>21</v>
      </c>
      <c r="F1" s="1" t="s">
        <v>22</v>
      </c>
      <c r="G1" s="1" t="s">
        <v>23</v>
      </c>
    </row>
    <row r="2" spans="1:7" x14ac:dyDescent="0.3">
      <c r="A2" t="s">
        <v>1</v>
      </c>
      <c r="B2">
        <v>65</v>
      </c>
      <c r="C2">
        <f>0.8842*20</f>
        <v>17.684000000000001</v>
      </c>
      <c r="D2">
        <f>0.9973*20</f>
        <v>19.945999999999998</v>
      </c>
      <c r="E2" s="2">
        <v>2</v>
      </c>
      <c r="F2" s="1">
        <v>2</v>
      </c>
      <c r="G2" s="1">
        <v>12</v>
      </c>
    </row>
    <row r="3" spans="1:7" x14ac:dyDescent="0.3">
      <c r="A3" t="s">
        <v>2</v>
      </c>
      <c r="B3">
        <v>791</v>
      </c>
      <c r="C3">
        <f>0.5549*20</f>
        <v>11.097999999999999</v>
      </c>
      <c r="D3">
        <f>0.9288*20</f>
        <v>18.576000000000001</v>
      </c>
      <c r="E3" s="1">
        <v>3</v>
      </c>
      <c r="F3" s="1">
        <v>4</v>
      </c>
      <c r="G3" s="1">
        <v>19</v>
      </c>
    </row>
    <row r="4" spans="1:7" x14ac:dyDescent="0.3">
      <c r="A4" t="s">
        <v>3</v>
      </c>
      <c r="B4">
        <v>377</v>
      </c>
      <c r="C4">
        <f>0.6258*20</f>
        <v>12.516</v>
      </c>
      <c r="D4">
        <f>0.9062*20</f>
        <v>18.123999999999999</v>
      </c>
      <c r="E4" s="1">
        <v>5</v>
      </c>
      <c r="F4" s="1">
        <v>1</v>
      </c>
      <c r="G4" s="1">
        <v>10</v>
      </c>
    </row>
    <row r="5" spans="1:7" x14ac:dyDescent="0.3">
      <c r="A5" t="s">
        <v>4</v>
      </c>
      <c r="B5">
        <v>300</v>
      </c>
      <c r="C5">
        <f>0.553*20</f>
        <v>11.06</v>
      </c>
      <c r="D5">
        <f>0.967*20</f>
        <v>19.34</v>
      </c>
      <c r="E5" s="1">
        <v>6</v>
      </c>
      <c r="F5" s="1">
        <v>2</v>
      </c>
      <c r="G5" s="1">
        <v>11</v>
      </c>
    </row>
    <row r="6" spans="1:7" x14ac:dyDescent="0.3">
      <c r="A6" t="s">
        <v>5</v>
      </c>
      <c r="B6">
        <v>295</v>
      </c>
      <c r="C6">
        <f>0.541*20</f>
        <v>10.82</v>
      </c>
      <c r="D6">
        <f>0.9372*20</f>
        <v>18.744</v>
      </c>
      <c r="E6" s="1">
        <v>10</v>
      </c>
      <c r="F6" s="1">
        <v>9</v>
      </c>
      <c r="G6" s="1">
        <v>16</v>
      </c>
    </row>
    <row r="7" spans="1:7" x14ac:dyDescent="0.3">
      <c r="A7" t="s">
        <v>6</v>
      </c>
      <c r="B7">
        <v>179</v>
      </c>
      <c r="C7">
        <f>0.4766*20</f>
        <v>9.532</v>
      </c>
      <c r="D7">
        <f>0.881*20</f>
        <v>17.62</v>
      </c>
      <c r="E7" s="1">
        <v>15</v>
      </c>
      <c r="F7" s="1">
        <v>15</v>
      </c>
      <c r="G7" s="1">
        <v>10</v>
      </c>
    </row>
    <row r="8" spans="1:7" x14ac:dyDescent="0.3">
      <c r="A8" t="s">
        <v>7</v>
      </c>
      <c r="B8">
        <v>262</v>
      </c>
      <c r="C8">
        <f>0.7799*20</f>
        <v>15.598000000000001</v>
      </c>
      <c r="D8">
        <f>0.9575*20</f>
        <v>19.149999999999999</v>
      </c>
      <c r="E8" s="1">
        <v>16</v>
      </c>
      <c r="F8" s="1">
        <v>5</v>
      </c>
      <c r="G8" s="1">
        <v>15</v>
      </c>
    </row>
    <row r="9" spans="1:7" x14ac:dyDescent="0.3">
      <c r="A9" t="s">
        <v>8</v>
      </c>
      <c r="B9">
        <v>201</v>
      </c>
      <c r="C9">
        <f>0.5952*20</f>
        <v>11.904</v>
      </c>
      <c r="D9">
        <f>0.8456*20</f>
        <v>16.911999999999999</v>
      </c>
      <c r="E9" s="1">
        <v>7</v>
      </c>
      <c r="F9" s="1">
        <v>3</v>
      </c>
      <c r="G9" s="1">
        <v>4</v>
      </c>
    </row>
    <row r="10" spans="1:7" x14ac:dyDescent="0.3">
      <c r="A10" t="s">
        <v>9</v>
      </c>
      <c r="B10">
        <v>200</v>
      </c>
      <c r="C10">
        <f>0.4781*20</f>
        <v>9.5620000000000012</v>
      </c>
      <c r="D10">
        <f>0.9488*20</f>
        <v>18.975999999999999</v>
      </c>
      <c r="E10" s="1">
        <v>18</v>
      </c>
      <c r="F10" s="1">
        <v>5</v>
      </c>
      <c r="G10" s="1">
        <v>3</v>
      </c>
    </row>
    <row r="11" spans="1:7" x14ac:dyDescent="0.3">
      <c r="A11" t="s">
        <v>10</v>
      </c>
      <c r="B11">
        <v>196</v>
      </c>
      <c r="C11">
        <f>0.7921*20</f>
        <v>15.842000000000001</v>
      </c>
      <c r="D11">
        <f>0.9389*20</f>
        <v>18.777999999999999</v>
      </c>
      <c r="E11" s="1">
        <v>11</v>
      </c>
      <c r="F11" s="1">
        <v>6</v>
      </c>
      <c r="G11" s="1">
        <v>6</v>
      </c>
    </row>
    <row r="12" spans="1:7" x14ac:dyDescent="0.3">
      <c r="A12" t="s">
        <v>11</v>
      </c>
      <c r="B12">
        <v>137</v>
      </c>
      <c r="C12">
        <f>0.7317*20</f>
        <v>14.634</v>
      </c>
      <c r="D12">
        <f>0.985*20</f>
        <v>19.7</v>
      </c>
      <c r="E12" s="1">
        <v>10</v>
      </c>
      <c r="F12" s="1">
        <v>7</v>
      </c>
      <c r="G12" s="1">
        <v>15</v>
      </c>
    </row>
    <row r="13" spans="1:7" x14ac:dyDescent="0.3">
      <c r="A13" t="s">
        <v>12</v>
      </c>
      <c r="B13">
        <v>135</v>
      </c>
      <c r="C13">
        <f>0.7332*20</f>
        <v>14.664</v>
      </c>
      <c r="D13">
        <f>0.9252*20</f>
        <v>18.504000000000001</v>
      </c>
      <c r="E13" s="1">
        <v>20</v>
      </c>
      <c r="F13" s="1">
        <v>8</v>
      </c>
      <c r="G13" s="1">
        <v>11</v>
      </c>
    </row>
    <row r="14" spans="1:7" x14ac:dyDescent="0.3">
      <c r="A14" t="s">
        <v>13</v>
      </c>
      <c r="B14">
        <v>118</v>
      </c>
      <c r="C14">
        <f>0.786*20</f>
        <v>15.72</v>
      </c>
      <c r="D14">
        <f>0.8444*20</f>
        <v>16.888000000000002</v>
      </c>
      <c r="E14" s="1">
        <v>15</v>
      </c>
      <c r="F14" s="1">
        <v>8</v>
      </c>
      <c r="G14" s="1">
        <v>16</v>
      </c>
    </row>
    <row r="15" spans="1:7" x14ac:dyDescent="0.3">
      <c r="A15" t="s">
        <v>14</v>
      </c>
      <c r="B15">
        <v>30</v>
      </c>
      <c r="C15">
        <f>0.5431*20</f>
        <v>10.862</v>
      </c>
      <c r="D15">
        <f>0.9849*20</f>
        <v>19.698</v>
      </c>
      <c r="E15" s="1">
        <v>15</v>
      </c>
      <c r="F15" s="1">
        <f>6/30*100</f>
        <v>20</v>
      </c>
      <c r="G15" s="1">
        <v>5</v>
      </c>
    </row>
    <row r="16" spans="1:7" x14ac:dyDescent="0.3">
      <c r="A16" t="s">
        <v>15</v>
      </c>
      <c r="B16">
        <v>90</v>
      </c>
      <c r="C16">
        <f>0.9474*20</f>
        <v>18.948</v>
      </c>
      <c r="D16">
        <f>0.9591*20</f>
        <v>19.181999999999999</v>
      </c>
      <c r="E16" s="1">
        <v>12</v>
      </c>
      <c r="F16" s="1">
        <v>1</v>
      </c>
      <c r="G16" s="1">
        <v>2</v>
      </c>
    </row>
    <row r="17" spans="1:7" x14ac:dyDescent="0.3">
      <c r="A17" t="s">
        <v>16</v>
      </c>
      <c r="B17">
        <v>34</v>
      </c>
      <c r="C17">
        <f>0.431*20</f>
        <v>8.6199999999999992</v>
      </c>
      <c r="D17">
        <f>0.9993*20</f>
        <v>19.986000000000001</v>
      </c>
      <c r="E17" s="1">
        <v>11</v>
      </c>
      <c r="F17" s="1">
        <v>5</v>
      </c>
      <c r="G17" s="1">
        <v>12</v>
      </c>
    </row>
    <row r="18" spans="1:7" x14ac:dyDescent="0.3">
      <c r="A18" t="s">
        <v>17</v>
      </c>
      <c r="B18">
        <v>79</v>
      </c>
      <c r="C18">
        <f>0.5736*20</f>
        <v>11.472</v>
      </c>
      <c r="D18">
        <f>0.9574*20</f>
        <v>19.148</v>
      </c>
      <c r="E18" s="1">
        <v>12</v>
      </c>
      <c r="F18" s="1">
        <v>20</v>
      </c>
      <c r="G18" s="1">
        <v>6</v>
      </c>
    </row>
    <row r="19" spans="1:7" x14ac:dyDescent="0.3">
      <c r="A19" t="s">
        <v>18</v>
      </c>
      <c r="B19">
        <v>81</v>
      </c>
      <c r="C19">
        <f>0.7707*20</f>
        <v>15.414000000000001</v>
      </c>
      <c r="D19">
        <f>0.9295*20</f>
        <v>18.59</v>
      </c>
      <c r="E19" s="1">
        <v>19</v>
      </c>
      <c r="F19" s="1">
        <v>3</v>
      </c>
      <c r="G19" s="1">
        <v>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hkkim</dc:creator>
  <cp:lastModifiedBy>hkkim</cp:lastModifiedBy>
  <dcterms:created xsi:type="dcterms:W3CDTF">2025-12-02T14:36:23Z</dcterms:created>
  <dcterms:modified xsi:type="dcterms:W3CDTF">2025-12-08T13:53:40Z</dcterms:modified>
</cp:coreProperties>
</file>