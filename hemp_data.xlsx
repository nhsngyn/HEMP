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kim\OneDrive\바탕 화면\정보디자인데이터\"/>
    </mc:Choice>
  </mc:AlternateContent>
  <xr:revisionPtr revIDLastSave="0" documentId="13_ncr:1_{9613FC93-E539-408F-8C00-9A2D29C00C79}" xr6:coauthVersionLast="36" xr6:coauthVersionMax="36" xr10:uidLastSave="{00000000-0000-0000-0000-000000000000}"/>
  <bookViews>
    <workbookView xWindow="0" yWindow="0" windowWidth="19275" windowHeight="7845" xr2:uid="{5EF85D62-9215-47D4-83C2-8E6417029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E22" i="1"/>
  <c r="D22" i="1"/>
  <c r="E19" i="1" l="1"/>
  <c r="C19" i="1"/>
  <c r="B19" i="1"/>
  <c r="E18" i="1"/>
  <c r="E2" i="1"/>
  <c r="C18" i="1"/>
  <c r="B18" i="1"/>
  <c r="E17" i="1"/>
  <c r="C17" i="1"/>
  <c r="B17" i="1"/>
  <c r="E16" i="1"/>
  <c r="C16" i="1"/>
  <c r="B16" i="1"/>
  <c r="E15" i="1"/>
  <c r="C15" i="1"/>
  <c r="B15" i="1"/>
  <c r="E14" i="1"/>
  <c r="C14" i="1"/>
  <c r="B14" i="1"/>
  <c r="E13" i="1"/>
  <c r="C13" i="1"/>
  <c r="B13" i="1"/>
  <c r="E12" i="1" l="1"/>
  <c r="C12" i="1"/>
  <c r="B12" i="1"/>
  <c r="E11" i="1"/>
  <c r="C11" i="1"/>
  <c r="B11" i="1"/>
  <c r="E10" i="1"/>
  <c r="C10" i="1"/>
  <c r="B10" i="1"/>
  <c r="E9" i="1"/>
  <c r="C9" i="1"/>
  <c r="E8" i="1"/>
  <c r="B9" i="1"/>
  <c r="C8" i="1"/>
  <c r="B8" i="1"/>
  <c r="C7" i="1"/>
  <c r="E7" i="1"/>
  <c r="B7" i="1"/>
  <c r="E6" i="1" l="1"/>
  <c r="C6" i="1"/>
  <c r="B6" i="1"/>
  <c r="E5" i="1"/>
  <c r="C5" i="1"/>
  <c r="B5" i="1"/>
  <c r="E4" i="1"/>
  <c r="C4" i="1"/>
  <c r="B4" i="1"/>
  <c r="E3" i="1" l="1"/>
  <c r="C3" i="1"/>
  <c r="B3" i="1"/>
  <c r="B2" i="1" l="1"/>
  <c r="C2" i="1" l="1"/>
</calcChain>
</file>

<file path=xl/sharedStrings.xml><?xml version="1.0" encoding="utf-8"?>
<sst xmlns="http://schemas.openxmlformats.org/spreadsheetml/2006/main" count="26" uniqueCount="26">
  <si>
    <t>Name</t>
    <phoneticPr fontId="1" type="noConversion"/>
  </si>
  <si>
    <t>Sei</t>
    <phoneticPr fontId="1" type="noConversion"/>
  </si>
  <si>
    <t>Osmosis</t>
  </si>
  <si>
    <t>Injective</t>
  </si>
  <si>
    <t>Dydx</t>
  </si>
  <si>
    <t>Stargaze</t>
  </si>
  <si>
    <t>Cosmos</t>
  </si>
  <si>
    <t>Axelar</t>
  </si>
  <si>
    <t>Secret</t>
  </si>
  <si>
    <t>Kava</t>
  </si>
  <si>
    <t>Gravity-bridge</t>
  </si>
  <si>
    <t>Persistence</t>
  </si>
  <si>
    <t>Akash</t>
  </si>
  <si>
    <t>Terra</t>
  </si>
  <si>
    <t>Xpla</t>
  </si>
  <si>
    <t>Stride</t>
  </si>
  <si>
    <t>Provenance</t>
  </si>
  <si>
    <t>Agoric</t>
  </si>
  <si>
    <t>Chihuahua</t>
  </si>
  <si>
    <t>Validator Balance(Nakamoto Coefficient) (클수록 좋은 것)</t>
    <phoneticPr fontId="1" type="noConversion"/>
  </si>
  <si>
    <t>Stability(작을수록 좋은것)</t>
    <phoneticPr fontId="1" type="noConversion"/>
  </si>
  <si>
    <t>Participation</t>
    <phoneticPr fontId="1" type="noConversion"/>
  </si>
  <si>
    <t>Consensus</t>
    <phoneticPr fontId="1" type="noConversion"/>
  </si>
  <si>
    <t>Rejection Rate(%)</t>
    <phoneticPr fontId="1" type="noConversion"/>
  </si>
  <si>
    <t>평균</t>
    <phoneticPr fontId="1" type="noConversion"/>
  </si>
  <si>
    <t>표준편차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</si>
</sst>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7C6-768F-4400-9806-471977E6A35B}">
  <dimension ref="A1:F22"/>
  <sheetViews>
    <sheetView tabSelected="1" zoomScale="110" zoomScaleNormal="110" workbookViewId="0">
      <selection activeCell="B21" sqref="B21"/>
    </sheetView>
  </sheetViews>
  <sheetFormatPr defaultRowHeight="16.5" x14ac:dyDescent="0.3"/>
  <cols>
    <col min="1" max="1" width="14" bestFit="1" customWidth="1"/>
    <col min="2" max="2" width="38" bestFit="1" customWidth="1"/>
    <col min="3" max="3" width="33.875" bestFit="1" customWidth="1"/>
    <col min="4" max="4" width="30.625" style="1" bestFit="1" customWidth="1"/>
    <col min="5" max="5" width="38.125" style="1" bestFit="1" customWidth="1"/>
    <col min="6" max="6" width="55.375" style="1" bestFit="1" customWidth="1"/>
  </cols>
  <sheetData>
    <row r="1" spans="1:6" x14ac:dyDescent="0.3">
      <c r="A1" t="s">
        <v>0</v>
      </c>
      <c r="B1" t="s">
        <v>21</v>
      </c>
      <c r="C1" t="s">
        <v>22</v>
      </c>
      <c r="D1" s="1" t="s">
        <v>20</v>
      </c>
      <c r="E1" s="1" t="s">
        <v>23</v>
      </c>
      <c r="F1" s="1" t="s">
        <v>19</v>
      </c>
    </row>
    <row r="2" spans="1:6" x14ac:dyDescent="0.3">
      <c r="A2" t="s">
        <v>1</v>
      </c>
      <c r="B2">
        <f>0.8842*20</f>
        <v>17.684000000000001</v>
      </c>
      <c r="C2">
        <f>0.9973*20</f>
        <v>19.945999999999998</v>
      </c>
      <c r="D2" s="1">
        <v>0.1512</v>
      </c>
      <c r="E2" s="1">
        <f>3/65*100</f>
        <v>4.6153846153846159</v>
      </c>
      <c r="F2" s="1">
        <v>12</v>
      </c>
    </row>
    <row r="3" spans="1:6" x14ac:dyDescent="0.3">
      <c r="A3" t="s">
        <v>2</v>
      </c>
      <c r="B3">
        <f>0.5549*20</f>
        <v>11.097999999999999</v>
      </c>
      <c r="C3">
        <f>0.9288*20</f>
        <v>18.576000000000001</v>
      </c>
      <c r="D3" s="1">
        <v>0.15140000000000001</v>
      </c>
      <c r="E3" s="1">
        <f>67/791*100</f>
        <v>8.470290771175728</v>
      </c>
      <c r="F3" s="1">
        <v>19</v>
      </c>
    </row>
    <row r="4" spans="1:6" x14ac:dyDescent="0.3">
      <c r="A4" t="s">
        <v>3</v>
      </c>
      <c r="B4">
        <f>0.6258*20</f>
        <v>12.516</v>
      </c>
      <c r="C4">
        <f>0.9062*20</f>
        <v>18.123999999999999</v>
      </c>
      <c r="D4" s="1">
        <v>0.1047</v>
      </c>
      <c r="E4" s="1">
        <f>11/377*100</f>
        <v>2.9177718832891246</v>
      </c>
      <c r="F4" s="1">
        <v>10</v>
      </c>
    </row>
    <row r="5" spans="1:6" x14ac:dyDescent="0.3">
      <c r="A5" t="s">
        <v>4</v>
      </c>
      <c r="B5">
        <f>0.553*20</f>
        <v>11.06</v>
      </c>
      <c r="C5">
        <f>0.967*20</f>
        <v>19.34</v>
      </c>
      <c r="D5" s="1">
        <v>0.11650000000000001</v>
      </c>
      <c r="E5" s="1">
        <f>13/300*100</f>
        <v>4.3333333333333339</v>
      </c>
      <c r="F5" s="1">
        <v>11</v>
      </c>
    </row>
    <row r="6" spans="1:6" x14ac:dyDescent="0.3">
      <c r="A6" t="s">
        <v>5</v>
      </c>
      <c r="B6">
        <f>0.541*20</f>
        <v>10.82</v>
      </c>
      <c r="C6">
        <f>0.9372*20</f>
        <v>18.744</v>
      </c>
      <c r="D6" s="1">
        <v>0.1381</v>
      </c>
      <c r="E6" s="1">
        <f>58/295*100</f>
        <v>19.661016949152543</v>
      </c>
      <c r="F6" s="1">
        <v>16</v>
      </c>
    </row>
    <row r="7" spans="1:6" x14ac:dyDescent="0.3">
      <c r="A7" t="s">
        <v>6</v>
      </c>
      <c r="B7">
        <f>0.4766*20</f>
        <v>9.532</v>
      </c>
      <c r="C7">
        <f>0.881*20</f>
        <v>17.62</v>
      </c>
      <c r="D7" s="1">
        <v>5.0099999999999999E-2</v>
      </c>
      <c r="E7" s="1">
        <f>57/179*100</f>
        <v>31.843575418994412</v>
      </c>
      <c r="F7" s="1">
        <v>10</v>
      </c>
    </row>
    <row r="8" spans="1:6" x14ac:dyDescent="0.3">
      <c r="A8" t="s">
        <v>7</v>
      </c>
      <c r="B8">
        <f>0.7799*20</f>
        <v>15.598000000000001</v>
      </c>
      <c r="C8">
        <f>0.9575*20</f>
        <v>19.149999999999999</v>
      </c>
      <c r="D8" s="1">
        <v>0.18790000000000001</v>
      </c>
      <c r="E8" s="1">
        <f>23/262*100</f>
        <v>8.778625954198473</v>
      </c>
      <c r="F8" s="1">
        <v>15</v>
      </c>
    </row>
    <row r="9" spans="1:6" x14ac:dyDescent="0.3">
      <c r="A9" t="s">
        <v>8</v>
      </c>
      <c r="B9">
        <f>0.5952*20</f>
        <v>11.904</v>
      </c>
      <c r="C9">
        <f>0.8456*20</f>
        <v>16.911999999999999</v>
      </c>
      <c r="D9" s="1">
        <v>0.13300000000000001</v>
      </c>
      <c r="E9" s="1">
        <f>29/201*100</f>
        <v>14.427860696517413</v>
      </c>
      <c r="F9" s="1">
        <v>4</v>
      </c>
    </row>
    <row r="10" spans="1:6" x14ac:dyDescent="0.3">
      <c r="A10" t="s">
        <v>9</v>
      </c>
      <c r="B10">
        <f>0.4781*20</f>
        <v>9.5620000000000012</v>
      </c>
      <c r="C10">
        <f>0.9488*20</f>
        <v>18.975999999999999</v>
      </c>
      <c r="D10" s="1">
        <v>0.1055</v>
      </c>
      <c r="E10" s="1">
        <f>24/200*100</f>
        <v>12</v>
      </c>
      <c r="F10" s="1">
        <v>3</v>
      </c>
    </row>
    <row r="11" spans="1:6" x14ac:dyDescent="0.3">
      <c r="A11" t="s">
        <v>10</v>
      </c>
      <c r="B11">
        <f>0.7921*20</f>
        <v>15.842000000000001</v>
      </c>
      <c r="C11">
        <f>0.9389*20</f>
        <v>18.777999999999999</v>
      </c>
      <c r="D11" s="1">
        <v>0.15390000000000001</v>
      </c>
      <c r="E11" s="1">
        <f>38/196*100</f>
        <v>19.387755102040817</v>
      </c>
      <c r="F11" s="1">
        <v>6</v>
      </c>
    </row>
    <row r="12" spans="1:6" x14ac:dyDescent="0.3">
      <c r="A12" t="s">
        <v>11</v>
      </c>
      <c r="B12">
        <f>0.7317*20</f>
        <v>14.634</v>
      </c>
      <c r="C12">
        <f>0.985*20</f>
        <v>19.7</v>
      </c>
      <c r="D12" s="1">
        <v>0.12989999999999999</v>
      </c>
      <c r="E12" s="1">
        <f>6/137*100</f>
        <v>4.3795620437956204</v>
      </c>
      <c r="F12" s="1">
        <v>15</v>
      </c>
    </row>
    <row r="13" spans="1:6" x14ac:dyDescent="0.3">
      <c r="A13" t="s">
        <v>12</v>
      </c>
      <c r="B13">
        <f>0.7332*20</f>
        <v>14.664</v>
      </c>
      <c r="C13">
        <f>0.9252*20</f>
        <v>18.504000000000001</v>
      </c>
      <c r="D13" s="1">
        <v>0.16869999999999999</v>
      </c>
      <c r="E13" s="1">
        <f>20/135*100</f>
        <v>14.814814814814813</v>
      </c>
      <c r="F13" s="1">
        <v>11</v>
      </c>
    </row>
    <row r="14" spans="1:6" x14ac:dyDescent="0.3">
      <c r="A14" t="s">
        <v>13</v>
      </c>
      <c r="B14">
        <f>0.786*20</f>
        <v>15.72</v>
      </c>
      <c r="C14">
        <f>0.8444*20</f>
        <v>16.888000000000002</v>
      </c>
      <c r="D14" s="1">
        <v>0.1474</v>
      </c>
      <c r="E14" s="1">
        <f>56/118*100</f>
        <v>47.457627118644069</v>
      </c>
      <c r="F14" s="1">
        <v>16</v>
      </c>
    </row>
    <row r="15" spans="1:6" x14ac:dyDescent="0.3">
      <c r="A15" t="s">
        <v>14</v>
      </c>
      <c r="B15">
        <f>0.5431*20</f>
        <v>10.862</v>
      </c>
      <c r="C15">
        <f>0.9849*20</f>
        <v>19.698</v>
      </c>
      <c r="D15" s="1">
        <v>0.1197</v>
      </c>
      <c r="E15" s="1">
        <f>6/30*100</f>
        <v>20</v>
      </c>
      <c r="F15" s="1">
        <v>5</v>
      </c>
    </row>
    <row r="16" spans="1:6" x14ac:dyDescent="0.3">
      <c r="A16" t="s">
        <v>15</v>
      </c>
      <c r="B16">
        <f>0.9474*20</f>
        <v>18.948</v>
      </c>
      <c r="C16">
        <f>0.9591*20</f>
        <v>19.181999999999999</v>
      </c>
      <c r="D16" s="1">
        <v>9.7000000000000003E-2</v>
      </c>
      <c r="E16" s="1">
        <f>21/90*100</f>
        <v>23.333333333333332</v>
      </c>
      <c r="F16" s="1">
        <v>2</v>
      </c>
    </row>
    <row r="17" spans="1:6" x14ac:dyDescent="0.3">
      <c r="A17" t="s">
        <v>16</v>
      </c>
      <c r="B17">
        <f>0.431*20</f>
        <v>8.6199999999999992</v>
      </c>
      <c r="C17">
        <f>0.9993*20</f>
        <v>19.986000000000001</v>
      </c>
      <c r="D17" s="1">
        <v>7.3999999999999996E-2</v>
      </c>
      <c r="E17" s="1">
        <f>0*100</f>
        <v>0</v>
      </c>
      <c r="F17" s="1">
        <v>12</v>
      </c>
    </row>
    <row r="18" spans="1:6" x14ac:dyDescent="0.3">
      <c r="A18" t="s">
        <v>17</v>
      </c>
      <c r="B18">
        <f>0.5736*20</f>
        <v>11.472</v>
      </c>
      <c r="C18">
        <f>0.9574*20</f>
        <v>19.148</v>
      </c>
      <c r="D18" s="1">
        <v>9.64E-2</v>
      </c>
      <c r="E18" s="1">
        <f>16/79*100</f>
        <v>20.253164556962027</v>
      </c>
      <c r="F18" s="1">
        <v>6</v>
      </c>
    </row>
    <row r="19" spans="1:6" x14ac:dyDescent="0.3">
      <c r="A19" t="s">
        <v>18</v>
      </c>
      <c r="B19">
        <f>0.7707*20</f>
        <v>15.414000000000001</v>
      </c>
      <c r="C19">
        <f>0.9295*20</f>
        <v>18.59</v>
      </c>
      <c r="D19" s="1">
        <v>0.20030000000000001</v>
      </c>
      <c r="E19" s="1">
        <f>9/81*100</f>
        <v>11.111111111111111</v>
      </c>
      <c r="F19" s="1">
        <v>7</v>
      </c>
    </row>
    <row r="21" spans="1:6" x14ac:dyDescent="0.3">
      <c r="C21" t="s">
        <v>24</v>
      </c>
      <c r="D21" s="1">
        <v>0.12920000000000001</v>
      </c>
      <c r="E21" s="1">
        <v>14.877000000000001</v>
      </c>
      <c r="F21" s="1">
        <v>10</v>
      </c>
    </row>
    <row r="22" spans="1:6" x14ac:dyDescent="0.3">
      <c r="C22" t="s">
        <v>25</v>
      </c>
      <c r="D22" s="1">
        <f>TRUNC(_xlfn.STDEV.P(D2:D19),4)</f>
        <v>3.7100000000000001E-2</v>
      </c>
      <c r="E22" s="1">
        <f>TRUNC(_xlfn.STDEV.P(E2:E19),4)</f>
        <v>11.331200000000001</v>
      </c>
      <c r="F22" s="1">
        <f>TRUNC(_xlfn.STDEV.P(F2:F19),4)</f>
        <v>4.8761999999999999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hkkim</dc:creator>
  <cp:lastModifiedBy>hkkim</cp:lastModifiedBy>
  <dcterms:created xsi:type="dcterms:W3CDTF">2025-12-02T14:36:23Z</dcterms:created>
  <dcterms:modified xsi:type="dcterms:W3CDTF">2025-12-05T16:31:59Z</dcterms:modified>
</cp:coreProperties>
</file>